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atihanVBA\Mini Project1\"/>
    </mc:Choice>
  </mc:AlternateContent>
  <xr:revisionPtr revIDLastSave="0" documentId="13_ncr:1_{371C44DA-E7E1-4EF3-84C8-57FBDB761CD7}" xr6:coauthVersionLast="45" xr6:coauthVersionMax="45" xr10:uidLastSave="{00000000-0000-0000-0000-000000000000}"/>
  <bookViews>
    <workbookView xWindow="-120" yWindow="-120" windowWidth="20730" windowHeight="11760" activeTab="2" xr2:uid="{980F4326-35D9-450E-ABD8-7530E8CC6403}"/>
  </bookViews>
  <sheets>
    <sheet name="Struk" sheetId="20" r:id="rId1"/>
    <sheet name="Keranjang" sheetId="17" r:id="rId2"/>
    <sheet name="Rekap" sheetId="7" r:id="rId3"/>
    <sheet name="Kategori" sheetId="11" r:id="rId4"/>
    <sheet name="Kaus kaki" sheetId="12" r:id="rId5"/>
    <sheet name="Bola" sheetId="2" r:id="rId6"/>
    <sheet name="User" sheetId="9" r:id="rId7"/>
    <sheet name="Sepatu" sheetId="4" r:id="rId8"/>
    <sheet name="Jersey" sheetId="5" r:id="rId9"/>
    <sheet name="Size" sheetId="16" r:id="rId10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7" l="1"/>
  <c r="A10" i="9" l="1"/>
  <c r="A9" i="9" l="1"/>
  <c r="A8" i="9" l="1"/>
  <c r="A7" i="9" l="1"/>
  <c r="A6" i="9" l="1"/>
</calcChain>
</file>

<file path=xl/sharedStrings.xml><?xml version="1.0" encoding="utf-8"?>
<sst xmlns="http://schemas.openxmlformats.org/spreadsheetml/2006/main" count="205" uniqueCount="69">
  <si>
    <t>No</t>
  </si>
  <si>
    <t>Nama Produk</t>
  </si>
  <si>
    <t>Merk</t>
  </si>
  <si>
    <t>Keterangan</t>
  </si>
  <si>
    <t>Harga</t>
  </si>
  <si>
    <t>Kode Barang</t>
  </si>
  <si>
    <t>Password</t>
  </si>
  <si>
    <t>Nama User</t>
  </si>
  <si>
    <t>OG</t>
  </si>
  <si>
    <t>Kategori</t>
  </si>
  <si>
    <t>Bola</t>
  </si>
  <si>
    <t>Sepatu</t>
  </si>
  <si>
    <t>Jersey</t>
  </si>
  <si>
    <t>Akira</t>
  </si>
  <si>
    <t>Kaus kaki</t>
  </si>
  <si>
    <t>Louch</t>
  </si>
  <si>
    <t>Stok</t>
  </si>
  <si>
    <t>Harga Jual</t>
  </si>
  <si>
    <t>Total Harga</t>
  </si>
  <si>
    <t>Barang Masuk</t>
  </si>
  <si>
    <t>Harga Beli/pcs</t>
  </si>
  <si>
    <t>Tanggal</t>
  </si>
  <si>
    <t>Barang Keluar</t>
  </si>
  <si>
    <t>Bedul</t>
  </si>
  <si>
    <t>Size</t>
  </si>
  <si>
    <t>Banyak Barang</t>
  </si>
  <si>
    <t>Kode barang</t>
  </si>
  <si>
    <t>Nama Barang</t>
  </si>
  <si>
    <t>Qty</t>
  </si>
  <si>
    <t>Osama bin laden</t>
  </si>
  <si>
    <t>Rekap Data</t>
  </si>
  <si>
    <t>Barang masuk</t>
  </si>
  <si>
    <t>Barang keluar</t>
  </si>
  <si>
    <t>cs</t>
  </si>
  <si>
    <t>12</t>
  </si>
  <si>
    <t>11</t>
  </si>
  <si>
    <t>Bola kaki</t>
  </si>
  <si>
    <t>adidas</t>
  </si>
  <si>
    <t>none</t>
  </si>
  <si>
    <t>Bola futsal</t>
  </si>
  <si>
    <t>Molten</t>
  </si>
  <si>
    <t>13</t>
  </si>
  <si>
    <t>Bola api</t>
  </si>
  <si>
    <t>21</t>
  </si>
  <si>
    <t>Sepatu bola</t>
  </si>
  <si>
    <t>Specs</t>
  </si>
  <si>
    <t>22</t>
  </si>
  <si>
    <t>Sepatu basket</t>
  </si>
  <si>
    <t>23</t>
  </si>
  <si>
    <t>Sepatu super</t>
  </si>
  <si>
    <t>super</t>
  </si>
  <si>
    <t>31</t>
  </si>
  <si>
    <t>Jersey bola</t>
  </si>
  <si>
    <t>wadimor</t>
  </si>
  <si>
    <t>32</t>
  </si>
  <si>
    <t>Jersey basket</t>
  </si>
  <si>
    <t>Yamaha</t>
  </si>
  <si>
    <t>None</t>
  </si>
  <si>
    <t>Jersey E-sport</t>
  </si>
  <si>
    <t>RRQ</t>
  </si>
  <si>
    <t>41</t>
  </si>
  <si>
    <t>Kaus kaki bola</t>
  </si>
  <si>
    <t>nike</t>
  </si>
  <si>
    <t>42</t>
  </si>
  <si>
    <t>Kaus kaki badminton</t>
  </si>
  <si>
    <t>yonex</t>
  </si>
  <si>
    <t>43</t>
  </si>
  <si>
    <t>kaus kaki balet</t>
  </si>
  <si>
    <t>kawasaki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</si>
</sst>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Rp-3809]* #,##0.00_-;\-[$Rp-3809]* #,##0.00_-;_-[$Rp-3809]* &quot;-&quot;??_-;_-@_-"/>
    <numFmt numFmtId="165" formatCode="&quot;Rp&quot;#,##0"/>
  </numFmts>
  <fonts count="8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</fills>
  <borders count="5">
    <border>
      <left/>
      <right/>
      <top/>
      <bottom/>
      <diagonal/>
    </border>
    <border>
      <left/>
      <right/>
      <top style="double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7" fillId="2" borderId="0" applyNumberFormat="0" applyBorder="0" applyAlignment="0" applyProtection="0"/>
    <xf numFmtId="0" fontId="6" fillId="3" borderId="0" applyNumberFormat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6" fillId="3" borderId="2" xfId="2" applyBorder="1" applyAlignment="1">
      <alignment horizontal="center" vertical="center"/>
    </xf>
    <xf numFmtId="14" fontId="6" fillId="3" borderId="0" xfId="2" applyNumberFormat="1" applyAlignment="1">
      <alignment horizontal="center" vertical="center"/>
    </xf>
    <xf numFmtId="0" fontId="6" fillId="3" borderId="0" xfId="2" applyAlignment="1">
      <alignment horizontal="center" vertical="center"/>
    </xf>
    <xf numFmtId="164" fontId="6" fillId="3" borderId="0" xfId="2" applyNumberFormat="1" applyAlignment="1">
      <alignment horizontal="center" vertical="center"/>
    </xf>
    <xf numFmtId="14" fontId="7" fillId="2" borderId="2" xfId="1" applyNumberFormat="1" applyBorder="1" applyAlignment="1">
      <alignment horizontal="center" vertical="center"/>
    </xf>
    <xf numFmtId="0" fontId="7" fillId="2" borderId="2" xfId="1" applyBorder="1" applyAlignment="1">
      <alignment horizontal="center" vertical="center"/>
    </xf>
    <xf numFmtId="164" fontId="7" fillId="2" borderId="2" xfId="1" applyNumberFormat="1" applyBorder="1" applyAlignment="1">
      <alignment horizontal="center" vertical="center"/>
    </xf>
    <xf numFmtId="1" fontId="6" fillId="3" borderId="0" xfId="2" applyNumberFormat="1" applyAlignment="1">
      <alignment horizontal="center" vertical="center"/>
    </xf>
    <xf numFmtId="0" fontId="6" fillId="3" borderId="0" xfId="2" applyNumberFormat="1" applyAlignment="1">
      <alignment horizontal="center" vertical="center"/>
    </xf>
    <xf numFmtId="0" fontId="6" fillId="3" borderId="0" xfId="2"/>
    <xf numFmtId="1" fontId="7" fillId="2" borderId="1" xfId="1" applyNumberFormat="1" applyBorder="1" applyAlignment="1">
      <alignment horizontal="center" vertical="center"/>
    </xf>
    <xf numFmtId="49" fontId="7" fillId="2" borderId="1" xfId="1" applyNumberFormat="1" applyBorder="1" applyAlignment="1">
      <alignment horizontal="center" vertical="center"/>
    </xf>
    <xf numFmtId="0" fontId="7" fillId="2" borderId="1" xfId="1" applyBorder="1" applyAlignment="1">
      <alignment horizontal="center" vertical="center"/>
    </xf>
    <xf numFmtId="164" fontId="7" fillId="2" borderId="1" xfId="1" applyNumberFormat="1" applyBorder="1" applyAlignment="1">
      <alignment horizontal="center" vertical="center"/>
    </xf>
    <xf numFmtId="0" fontId="7" fillId="2" borderId="2" xfId="1" applyBorder="1"/>
    <xf numFmtId="49" fontId="6" fillId="3" borderId="0" xfId="2" applyNumberFormat="1" applyAlignment="1">
      <alignment horizontal="center" vertical="center"/>
    </xf>
    <xf numFmtId="0" fontId="6" fillId="3" borderId="0" xfId="2" applyAlignment="1">
      <alignment horizontal="left" vertical="center"/>
    </xf>
    <xf numFmtId="164" fontId="6" fillId="3" borderId="0" xfId="2" applyNumberFormat="1"/>
    <xf numFmtId="0" fontId="6" fillId="3" borderId="0" xfId="2" applyBorder="1"/>
    <xf numFmtId="164" fontId="6" fillId="3" borderId="0" xfId="2" applyNumberFormat="1" applyBorder="1"/>
    <xf numFmtId="1" fontId="6" fillId="3" borderId="0" xfId="2" applyNumberFormat="1"/>
    <xf numFmtId="0" fontId="6" fillId="3" borderId="0" xfId="2" applyAlignment="1">
      <alignment vertical="center"/>
    </xf>
    <xf numFmtId="0" fontId="6" fillId="3" borderId="0" xfId="2" applyNumberFormat="1" applyAlignment="1">
      <alignment horizontal="center" vertical="top"/>
    </xf>
    <xf numFmtId="0" fontId="7" fillId="2" borderId="1" xfId="1" applyNumberFormat="1" applyBorder="1" applyAlignment="1">
      <alignment horizontal="center" vertical="top"/>
    </xf>
    <xf numFmtId="14" fontId="6" fillId="3" borderId="0" xfId="2" applyNumberFormat="1" applyBorder="1" applyAlignment="1">
      <alignment horizontal="center" vertical="center"/>
    </xf>
    <xf numFmtId="0" fontId="6" fillId="3" borderId="0" xfId="2" applyBorder="1" applyAlignment="1">
      <alignment horizontal="center" vertical="center"/>
    </xf>
    <xf numFmtId="164" fontId="6" fillId="3" borderId="0" xfId="2" applyNumberFormat="1" applyBorder="1" applyAlignment="1">
      <alignment horizontal="center" vertical="center"/>
    </xf>
    <xf numFmtId="0" fontId="6" fillId="3" borderId="3" xfId="2" applyBorder="1" applyAlignment="1">
      <alignment horizontal="center" vertical="center"/>
    </xf>
    <xf numFmtId="0" fontId="6" fillId="3" borderId="0" xfId="2" applyBorder="1" applyAlignment="1">
      <alignment vertical="center"/>
    </xf>
    <xf numFmtId="0" fontId="6" fillId="3" borderId="0" xfId="2" applyNumberFormat="1" applyBorder="1" applyAlignment="1">
      <alignment horizontal="center" vertical="center"/>
    </xf>
    <xf numFmtId="0" fontId="7" fillId="2" borderId="2" xfId="1" applyNumberFormat="1" applyBorder="1" applyAlignment="1">
      <alignment horizontal="center" vertical="center"/>
    </xf>
    <xf numFmtId="0" fontId="7" fillId="2" borderId="0" xfId="1"/>
    <xf numFmtId="0" fontId="5" fillId="3" borderId="0" xfId="2" applyFont="1"/>
    <xf numFmtId="165" fontId="6" fillId="3" borderId="0" xfId="2" applyNumberFormat="1"/>
    <xf numFmtId="165" fontId="7" fillId="2" borderId="2" xfId="1" applyNumberFormat="1" applyBorder="1" applyAlignment="1">
      <alignment horizontal="center" vertical="center"/>
    </xf>
    <xf numFmtId="0" fontId="4" fillId="3" borderId="0" xfId="2" applyFont="1" applyAlignment="1">
      <alignment vertical="center"/>
    </xf>
    <xf numFmtId="164" fontId="6" fillId="3" borderId="0" xfId="2" applyNumberFormat="1" applyAlignment="1">
      <alignment horizontal="center"/>
    </xf>
    <xf numFmtId="165" fontId="6" fillId="3" borderId="0" xfId="2" applyNumberFormat="1" applyAlignment="1">
      <alignment horizontal="center" vertical="center"/>
    </xf>
    <xf numFmtId="165" fontId="6" fillId="3" borderId="0" xfId="2" applyNumberFormat="1" applyBorder="1"/>
    <xf numFmtId="0" fontId="4" fillId="3" borderId="0" xfId="2" applyFont="1" applyAlignment="1">
      <alignment horizontal="center" vertical="center"/>
    </xf>
    <xf numFmtId="164" fontId="6" fillId="3" borderId="2" xfId="2" applyNumberFormat="1" applyBorder="1" applyAlignment="1">
      <alignment horizontal="center" vertical="center"/>
    </xf>
    <xf numFmtId="14" fontId="6" fillId="3" borderId="4" xfId="2" applyNumberFormat="1" applyBorder="1" applyAlignment="1">
      <alignment horizontal="center" vertical="center"/>
    </xf>
    <xf numFmtId="49" fontId="3" fillId="3" borderId="0" xfId="2" applyNumberFormat="1" applyFont="1" applyAlignment="1">
      <alignment horizontal="center" vertical="center"/>
    </xf>
    <xf numFmtId="0" fontId="2" fillId="3" borderId="0" xfId="2" applyFont="1"/>
    <xf numFmtId="0" fontId="2" fillId="3" borderId="0" xfId="2" applyFont="1" applyAlignment="1">
      <alignment horizontal="left" vertical="center"/>
    </xf>
    <xf numFmtId="0" fontId="1" fillId="3" borderId="0" xfId="2" applyFont="1" applyAlignment="1">
      <alignment vertical="center"/>
    </xf>
    <xf numFmtId="1" fontId="7" fillId="2" borderId="2" xfId="1" applyNumberFormat="1" applyBorder="1" applyAlignment="1">
      <alignment horizontal="center" vertical="center"/>
    </xf>
    <xf numFmtId="0" fontId="6" fillId="3" borderId="0" xfId="2" applyAlignment="1">
      <alignment horizontal="center"/>
    </xf>
    <xf numFmtId="14" fontId="6" fillId="3" borderId="3" xfId="2" applyNumberFormat="1" applyBorder="1" applyAlignment="1">
      <alignment horizontal="center" vertical="center"/>
    </xf>
    <xf numFmtId="164" fontId="6" fillId="3" borderId="3" xfId="2" applyNumberFormat="1" applyBorder="1" applyAlignment="1">
      <alignment horizontal="center" vertical="center"/>
    </xf>
  </cellXfs>
  <cellStyles count="3">
    <cellStyle name="40% - Accent5" xfId="2" builtinId="47"/>
    <cellStyle name="Accent5" xfId="1" builtinId="4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22411</xdr:rowOff>
    </xdr:from>
    <xdr:to>
      <xdr:col>2</xdr:col>
      <xdr:colOff>949</xdr:colOff>
      <xdr:row>43</xdr:row>
      <xdr:rowOff>149679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1CC3191-2F8E-44A7-8F7F-80575CB70ED8}"/>
            </a:ext>
          </a:extLst>
        </xdr:cNvPr>
        <xdr:cNvSpPr/>
      </xdr:nvSpPr>
      <xdr:spPr>
        <a:xfrm>
          <a:off x="0" y="22411"/>
          <a:ext cx="2110056" cy="83187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100726</xdr:colOff>
      <xdr:row>10</xdr:row>
      <xdr:rowOff>158271</xdr:rowOff>
    </xdr:from>
    <xdr:to>
      <xdr:col>1</xdr:col>
      <xdr:colOff>862723</xdr:colOff>
      <xdr:row>43</xdr:row>
      <xdr:rowOff>54429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C868F95-9BE0-422F-B7EF-A05FAED4DC8A}"/>
            </a:ext>
          </a:extLst>
        </xdr:cNvPr>
        <xdr:cNvSpPr txBox="1"/>
      </xdr:nvSpPr>
      <xdr:spPr>
        <a:xfrm rot="16200000">
          <a:off x="-2058515" y="4222512"/>
          <a:ext cx="6182658" cy="1864176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2000">
              <a:solidFill>
                <a:schemeClr val="bg1"/>
              </a:solidFill>
              <a:latin typeface="Algerian" panose="04020705040A02060702" pitchFamily="82" charset="0"/>
            </a:rPr>
            <a:t>G-SPORT</a:t>
          </a:r>
        </a:p>
      </xdr:txBody>
    </xdr:sp>
    <xdr:clientData/>
  </xdr:twoCellAnchor>
  <xdr:twoCellAnchor>
    <xdr:from>
      <xdr:col>1</xdr:col>
      <xdr:colOff>1003990</xdr:colOff>
      <xdr:row>0</xdr:row>
      <xdr:rowOff>24852</xdr:rowOff>
    </xdr:from>
    <xdr:to>
      <xdr:col>11</xdr:col>
      <xdr:colOff>0</xdr:colOff>
      <xdr:row>3</xdr:row>
      <xdr:rowOff>180977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D83327F-483A-4875-AF93-050CACAD5F2A}"/>
            </a:ext>
          </a:extLst>
        </xdr:cNvPr>
        <xdr:cNvSpPr/>
      </xdr:nvSpPr>
      <xdr:spPr>
        <a:xfrm rot="5400000">
          <a:off x="6383861" y="-4252840"/>
          <a:ext cx="727625" cy="928301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 editAs="oneCell">
    <xdr:from>
      <xdr:col>0</xdr:col>
      <xdr:colOff>11076</xdr:colOff>
      <xdr:row>0</xdr:row>
      <xdr:rowOff>44824</xdr:rowOff>
    </xdr:from>
    <xdr:to>
      <xdr:col>2</xdr:col>
      <xdr:colOff>949</xdr:colOff>
      <xdr:row>10</xdr:row>
      <xdr:rowOff>35295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D2C917D-52E2-4DCB-B489-D37A013A3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6" y="44824"/>
          <a:ext cx="2104359" cy="1873320"/>
        </a:xfrm>
        <a:prstGeom prst="rect">
          <a:avLst/>
        </a:prstGeom>
      </xdr:spPr>
    </xdr:pic>
    <xdr:clientData/>
  </xdr:twoCellAnchor>
  <xdr:twoCellAnchor>
    <xdr:from>
      <xdr:col>5</xdr:col>
      <xdr:colOff>128856</xdr:colOff>
      <xdr:row>0</xdr:row>
      <xdr:rowOff>173223</xdr:rowOff>
    </xdr:from>
    <xdr:to>
      <xdr:col>6</xdr:col>
      <xdr:colOff>715260</xdr:colOff>
      <xdr:row>3</xdr:row>
      <xdr:rowOff>85283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A5BAE06-B67A-4E28-BCED-5559EB9202E2}"/>
            </a:ext>
          </a:extLst>
        </xdr:cNvPr>
        <xdr:cNvSpPr txBox="1"/>
      </xdr:nvSpPr>
      <xdr:spPr>
        <a:xfrm>
          <a:off x="5653356" y="173223"/>
          <a:ext cx="1743011" cy="483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800">
              <a:solidFill>
                <a:schemeClr val="bg1"/>
              </a:solidFill>
              <a:latin typeface="Cooper Black" panose="0208090404030B020404" pitchFamily="18" charset="0"/>
            </a:rPr>
            <a:t>STRUK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2EFB6-8C88-48AD-ACF0-D5B323174348}">
  <sheetPr codeName="Sheet13">
    <pageSetUpPr fitToPage="1"/>
  </sheetPr>
  <dimension ref="C2:K5"/>
  <sheetViews>
    <sheetView showWhiteSpace="0" view="pageLayout" zoomScale="70" zoomScaleNormal="100" zoomScalePageLayoutView="70" workbookViewId="0">
      <selection activeCell="I21" sqref="I21"/>
    </sheetView>
  </sheetViews>
  <sheetFormatPr defaultRowHeight="15" x14ac:dyDescent="0.25"/>
  <cols>
    <col min="1" max="1" width="15.42578125" customWidth="1"/>
    <col min="2" max="2" width="14.140625" customWidth="1"/>
    <col min="3" max="3" width="17.85546875" customWidth="1"/>
    <col min="4" max="4" width="12.85546875" customWidth="1"/>
    <col min="5" max="5" width="19.5703125" customWidth="1"/>
    <col min="6" max="6" width="14.7109375" customWidth="1"/>
    <col min="7" max="7" width="13.7109375" customWidth="1"/>
    <col min="8" max="8" width="13.5703125" customWidth="1"/>
    <col min="9" max="9" width="14.140625" customWidth="1"/>
    <col min="10" max="10" width="11.85546875" customWidth="1"/>
    <col min="11" max="11" width="11.28515625" customWidth="1"/>
  </cols>
  <sheetData>
    <row r="2" spans="3:11" x14ac:dyDescent="0.25">
      <c r="J2" s="4">
        <v>44075</v>
      </c>
      <c r="K2" s="42" t="s">
        <v>33</v>
      </c>
    </row>
    <row r="3" spans="3:11" x14ac:dyDescent="0.25">
      <c r="J3" s="4">
        <v>44075</v>
      </c>
      <c r="K3" s="42" t="s">
        <v>33</v>
      </c>
    </row>
    <row r="5" spans="3:11" x14ac:dyDescent="0.25">
      <c r="C5" s="34" t="s">
        <v>21</v>
      </c>
      <c r="D5" s="34" t="s">
        <v>26</v>
      </c>
      <c r="E5" s="34" t="s">
        <v>27</v>
      </c>
      <c r="F5" s="34" t="s">
        <v>2</v>
      </c>
      <c r="G5" s="34" t="s">
        <v>28</v>
      </c>
      <c r="H5" s="34" t="s">
        <v>4</v>
      </c>
      <c r="I5" s="34" t="s">
        <v>18</v>
      </c>
      <c r="J5" s="34" t="s">
        <v>9</v>
      </c>
      <c r="K5" s="34" t="s">
        <v>24</v>
      </c>
    </row>
  </sheetData>
  <pageMargins left="0.5" right="0.5" top="0.5" bottom="0.5" header="0.3" footer="0.3"/>
  <pageSetup paperSize="9" scale="81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77C7C-8816-4B34-840E-61096C22D319}">
  <sheetPr codeName="Sheet17">
    <pageSetUpPr fitToPage="1"/>
  </sheetPr>
  <dimension ref="A1:S1"/>
  <sheetViews>
    <sheetView workbookViewId="0">
      <selection activeCell="G3" sqref="G3"/>
    </sheetView>
  </sheetViews>
  <sheetFormatPr defaultRowHeight="15" x14ac:dyDescent="0.25"/>
  <cols>
    <col min="1" max="1" width="15.42578125" style="5" customWidth="1"/>
    <col min="2" max="2" width="14.140625" style="5" customWidth="1"/>
    <col min="3" max="3" width="17.85546875" style="5" customWidth="1"/>
    <col min="4" max="4" width="12.85546875" style="5" customWidth="1"/>
    <col min="5" max="5" width="16.85546875" style="10" customWidth="1"/>
    <col min="6" max="7" width="16.28515625" style="6" customWidth="1"/>
    <col min="8" max="8" width="12.42578125" style="5" customWidth="1"/>
    <col min="9" max="9" width="9.140625" style="5"/>
  </cols>
  <sheetData>
    <row r="1" spans="1:19" x14ac:dyDescent="0.25">
      <c r="A1" s="7" t="s">
        <v>21</v>
      </c>
      <c r="B1" s="8" t="s">
        <v>26</v>
      </c>
      <c r="C1" s="8" t="s">
        <v>27</v>
      </c>
      <c r="D1" s="8" t="s">
        <v>2</v>
      </c>
      <c r="E1" s="49" t="s">
        <v>28</v>
      </c>
      <c r="F1" s="9" t="s">
        <v>4</v>
      </c>
      <c r="G1" s="9" t="s">
        <v>18</v>
      </c>
      <c r="H1" s="8" t="s">
        <v>9</v>
      </c>
      <c r="I1" s="8" t="s">
        <v>24</v>
      </c>
      <c r="K1" s="4"/>
      <c r="L1" s="42"/>
      <c r="M1" s="42"/>
      <c r="N1" s="42"/>
      <c r="O1" s="5"/>
      <c r="P1" s="6"/>
      <c r="Q1" s="6"/>
      <c r="R1" s="42"/>
      <c r="S1" s="5"/>
    </row>
  </sheetData>
  <pageMargins left="0.5" right="0.5" top="0.5" bottom="0.5" header="0.3" footer="0.3"/>
  <pageSetup paperSize="9" scale="7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71F6B-4693-4910-A7A0-73DBD0D77287}">
  <sheetPr codeName="Sheet7"/>
  <dimension ref="A1:T32"/>
  <sheetViews>
    <sheetView tabSelected="1" topLeftCell="C1" zoomScale="85" zoomScaleNormal="85" workbookViewId="0">
      <selection activeCell="O16" sqref="O16"/>
    </sheetView>
  </sheetViews>
  <sheetFormatPr defaultRowHeight="15" x14ac:dyDescent="0.25"/>
  <cols>
    <col min="1" max="1" width="15.42578125" style="5" customWidth="1"/>
    <col min="2" max="2" width="15.7109375" style="5" customWidth="1"/>
    <col min="3" max="3" width="19.140625" style="24" customWidth="1"/>
    <col min="4" max="4" width="15.85546875" style="24" customWidth="1"/>
    <col min="5" max="5" width="16.85546875" style="10" customWidth="1"/>
    <col min="6" max="6" width="17.28515625" style="6" customWidth="1"/>
    <col min="7" max="7" width="16.140625" style="20" customWidth="1"/>
    <col min="8" max="8" width="15.85546875" style="5" customWidth="1"/>
    <col min="9" max="9" width="14.42578125" style="5" customWidth="1"/>
    <col min="10" max="10" width="15.7109375" style="4" customWidth="1"/>
    <col min="11" max="11" width="17.42578125" style="5" customWidth="1"/>
    <col min="12" max="12" width="25" style="5" customWidth="1"/>
    <col min="13" max="13" width="14.85546875" style="11" customWidth="1"/>
    <col min="14" max="14" width="16.28515625" style="20" customWidth="1"/>
    <col min="15" max="15" width="15.140625" style="20" customWidth="1"/>
    <col min="16" max="16" width="15" style="6" customWidth="1"/>
    <col min="17" max="17" width="14.140625" style="50" customWidth="1"/>
    <col min="18" max="18" width="15.42578125" style="12" customWidth="1"/>
    <col min="20" max="20" width="15.42578125" style="12" customWidth="1"/>
    <col min="21" max="21" width="13.85546875" customWidth="1"/>
    <col min="22" max="22" width="12.85546875" customWidth="1"/>
  </cols>
  <sheetData>
    <row r="1" spans="1:20" x14ac:dyDescent="0.25">
      <c r="A1" s="27" t="s">
        <v>19</v>
      </c>
      <c r="B1" s="28"/>
      <c r="C1" s="31"/>
      <c r="J1" s="4" t="s">
        <v>22</v>
      </c>
      <c r="L1" s="24"/>
      <c r="M1" s="5"/>
      <c r="N1" s="11"/>
      <c r="P1" s="20"/>
      <c r="Q1" s="5"/>
      <c r="R1" s="5"/>
      <c r="T1" s="34" t="s">
        <v>30</v>
      </c>
    </row>
    <row r="2" spans="1:20" x14ac:dyDescent="0.25">
      <c r="A2" s="7" t="s">
        <v>21</v>
      </c>
      <c r="B2" s="8" t="s">
        <v>26</v>
      </c>
      <c r="C2" s="8" t="s">
        <v>27</v>
      </c>
      <c r="D2" s="8" t="s">
        <v>2</v>
      </c>
      <c r="E2" s="33" t="s">
        <v>25</v>
      </c>
      <c r="F2" s="9" t="s">
        <v>20</v>
      </c>
      <c r="G2" s="9" t="s">
        <v>18</v>
      </c>
      <c r="H2" s="8" t="s">
        <v>24</v>
      </c>
      <c r="I2" s="44"/>
      <c r="J2" s="7" t="s">
        <v>21</v>
      </c>
      <c r="K2" s="8" t="s">
        <v>26</v>
      </c>
      <c r="L2" s="8" t="s">
        <v>27</v>
      </c>
      <c r="M2" s="8" t="s">
        <v>2</v>
      </c>
      <c r="N2" s="8" t="s">
        <v>28</v>
      </c>
      <c r="O2" s="9" t="s">
        <v>4</v>
      </c>
      <c r="P2" s="9" t="s">
        <v>18</v>
      </c>
      <c r="Q2" s="8" t="s">
        <v>9</v>
      </c>
      <c r="R2" s="8" t="s">
        <v>24</v>
      </c>
      <c r="T2" s="35" t="s">
        <v>31</v>
      </c>
    </row>
    <row r="3" spans="1:20" x14ac:dyDescent="0.25">
      <c r="A3" s="4">
        <v>45111</v>
      </c>
      <c r="B3" s="5">
        <v>11</v>
      </c>
      <c r="C3" s="24" t="s">
        <v>36</v>
      </c>
      <c r="D3" s="24" t="s">
        <v>37</v>
      </c>
      <c r="E3" s="10">
        <v>10</v>
      </c>
      <c r="F3" s="6">
        <v>100000</v>
      </c>
      <c r="G3" s="20">
        <v>1000000</v>
      </c>
      <c r="H3" s="30"/>
      <c r="J3" s="51">
        <v>45203</v>
      </c>
      <c r="K3" s="30">
        <v>43</v>
      </c>
      <c r="L3" s="30" t="s">
        <v>67</v>
      </c>
      <c r="M3" s="30" t="s">
        <v>68</v>
      </c>
      <c r="N3" s="30">
        <v>1</v>
      </c>
      <c r="O3" s="52">
        <v>7000</v>
      </c>
      <c r="P3" s="52">
        <v>7000</v>
      </c>
      <c r="Q3" s="30" t="s">
        <v>14</v>
      </c>
      <c r="R3" s="30"/>
      <c r="T3" s="12" t="s">
        <v>32</v>
      </c>
    </row>
    <row r="4" spans="1:20" x14ac:dyDescent="0.25">
      <c r="A4" s="4">
        <v>45111</v>
      </c>
      <c r="B4" s="5">
        <v>12</v>
      </c>
      <c r="C4" s="24" t="s">
        <v>39</v>
      </c>
      <c r="D4" s="24" t="s">
        <v>40</v>
      </c>
      <c r="E4" s="10">
        <v>8</v>
      </c>
      <c r="F4" s="29">
        <v>70000</v>
      </c>
      <c r="G4" s="20">
        <v>560000</v>
      </c>
      <c r="I4" s="28"/>
      <c r="J4" s="27">
        <v>45203</v>
      </c>
      <c r="K4" s="28">
        <v>32</v>
      </c>
      <c r="L4" s="28" t="s">
        <v>55</v>
      </c>
      <c r="M4" s="28" t="s">
        <v>56</v>
      </c>
      <c r="N4" s="32">
        <v>1</v>
      </c>
      <c r="O4" s="29">
        <v>130000</v>
      </c>
      <c r="P4" s="29">
        <v>130000</v>
      </c>
      <c r="Q4" s="28" t="s">
        <v>12</v>
      </c>
      <c r="R4" s="28"/>
    </row>
    <row r="5" spans="1:20" x14ac:dyDescent="0.25">
      <c r="A5" s="4">
        <v>45111</v>
      </c>
      <c r="B5" s="5">
        <v>13</v>
      </c>
      <c r="C5" s="24" t="s">
        <v>42</v>
      </c>
      <c r="D5" s="24" t="s">
        <v>37</v>
      </c>
      <c r="E5" s="10">
        <v>7</v>
      </c>
      <c r="F5" s="6">
        <v>100000</v>
      </c>
      <c r="G5" s="20">
        <v>700000</v>
      </c>
      <c r="I5" s="27"/>
      <c r="J5" s="4">
        <v>45203</v>
      </c>
      <c r="K5" s="5">
        <v>41</v>
      </c>
      <c r="L5" s="5" t="s">
        <v>61</v>
      </c>
      <c r="M5" s="11" t="s">
        <v>62</v>
      </c>
      <c r="N5" s="20">
        <v>1</v>
      </c>
      <c r="O5" s="20">
        <v>10000</v>
      </c>
      <c r="P5" s="6">
        <v>10000</v>
      </c>
      <c r="Q5" s="50" t="s">
        <v>14</v>
      </c>
      <c r="R5" s="5"/>
    </row>
    <row r="6" spans="1:20" x14ac:dyDescent="0.25">
      <c r="A6" s="4">
        <v>45111</v>
      </c>
      <c r="B6" s="5">
        <v>21</v>
      </c>
      <c r="C6" s="24" t="s">
        <v>44</v>
      </c>
      <c r="D6" s="24" t="s">
        <v>45</v>
      </c>
      <c r="E6" s="10">
        <v>6</v>
      </c>
      <c r="F6" s="6">
        <v>120000</v>
      </c>
      <c r="G6" s="20">
        <v>720000</v>
      </c>
      <c r="H6" s="5">
        <v>39</v>
      </c>
      <c r="I6" s="4"/>
      <c r="J6" s="4">
        <f>Q28</f>
        <v>0</v>
      </c>
      <c r="K6" s="5">
        <v>22</v>
      </c>
      <c r="L6" s="5" t="s">
        <v>47</v>
      </c>
      <c r="M6" s="11" t="s">
        <v>40</v>
      </c>
      <c r="N6" s="20">
        <v>1</v>
      </c>
      <c r="O6" s="20">
        <v>170000</v>
      </c>
      <c r="P6" s="6">
        <v>170000</v>
      </c>
      <c r="Q6" s="50" t="s">
        <v>11</v>
      </c>
      <c r="R6" s="12">
        <v>39</v>
      </c>
    </row>
    <row r="7" spans="1:20" x14ac:dyDescent="0.25">
      <c r="A7" s="4">
        <v>45111</v>
      </c>
      <c r="B7" s="5">
        <v>22</v>
      </c>
      <c r="C7" s="24" t="s">
        <v>47</v>
      </c>
      <c r="D7" s="24" t="s">
        <v>40</v>
      </c>
      <c r="E7" s="10">
        <v>8</v>
      </c>
      <c r="F7" s="6">
        <v>170000</v>
      </c>
      <c r="G7" s="20">
        <v>1360000</v>
      </c>
      <c r="H7" s="5">
        <v>39</v>
      </c>
      <c r="I7" s="4"/>
      <c r="J7" s="4">
        <v>45203</v>
      </c>
      <c r="K7" s="5">
        <v>23</v>
      </c>
      <c r="L7" s="5" t="s">
        <v>49</v>
      </c>
      <c r="M7" s="11" t="s">
        <v>50</v>
      </c>
      <c r="N7" s="20">
        <v>1</v>
      </c>
      <c r="O7" s="20">
        <v>150000</v>
      </c>
      <c r="P7" s="6">
        <v>150000</v>
      </c>
      <c r="Q7" s="50" t="s">
        <v>11</v>
      </c>
      <c r="R7" s="12">
        <v>41</v>
      </c>
    </row>
    <row r="8" spans="1:20" x14ac:dyDescent="0.25">
      <c r="A8" s="4">
        <v>45111</v>
      </c>
      <c r="B8" s="5">
        <v>23</v>
      </c>
      <c r="C8" s="24" t="s">
        <v>49</v>
      </c>
      <c r="D8" s="24" t="s">
        <v>50</v>
      </c>
      <c r="E8" s="10">
        <v>10</v>
      </c>
      <c r="F8" s="6">
        <v>150000</v>
      </c>
      <c r="G8" s="20">
        <v>1500000</v>
      </c>
      <c r="H8" s="5">
        <v>39</v>
      </c>
      <c r="I8" s="27"/>
      <c r="J8" s="4">
        <v>45203</v>
      </c>
      <c r="K8" s="5">
        <v>32</v>
      </c>
      <c r="L8" s="5" t="s">
        <v>55</v>
      </c>
      <c r="M8" s="11" t="s">
        <v>56</v>
      </c>
      <c r="N8" s="20">
        <v>1</v>
      </c>
      <c r="O8" s="20">
        <v>130000</v>
      </c>
      <c r="P8" s="6">
        <v>130000</v>
      </c>
      <c r="Q8" s="50" t="s">
        <v>12</v>
      </c>
    </row>
    <row r="9" spans="1:20" x14ac:dyDescent="0.25">
      <c r="A9" s="4">
        <v>45111</v>
      </c>
      <c r="B9" s="5">
        <v>21</v>
      </c>
      <c r="C9" s="24" t="s">
        <v>44</v>
      </c>
      <c r="D9" s="24" t="s">
        <v>45</v>
      </c>
      <c r="E9" s="10">
        <v>5</v>
      </c>
      <c r="F9" s="6">
        <v>120000</v>
      </c>
      <c r="G9" s="20">
        <v>600000</v>
      </c>
      <c r="H9" s="5">
        <v>40</v>
      </c>
      <c r="I9" s="27"/>
      <c r="J9" s="27">
        <v>45203</v>
      </c>
      <c r="K9" s="28">
        <v>43</v>
      </c>
      <c r="L9" s="28" t="s">
        <v>67</v>
      </c>
      <c r="M9" s="32" t="s">
        <v>68</v>
      </c>
      <c r="N9" s="29">
        <v>1</v>
      </c>
      <c r="O9" s="29">
        <v>7000</v>
      </c>
      <c r="P9" s="29">
        <v>7000</v>
      </c>
      <c r="Q9" s="50" t="s">
        <v>14</v>
      </c>
    </row>
    <row r="10" spans="1:20" x14ac:dyDescent="0.25">
      <c r="A10" s="4">
        <v>45111</v>
      </c>
      <c r="B10" s="5">
        <v>21</v>
      </c>
      <c r="C10" s="24" t="s">
        <v>44</v>
      </c>
      <c r="D10" s="24" t="s">
        <v>45</v>
      </c>
      <c r="E10" s="10">
        <v>4</v>
      </c>
      <c r="F10" s="6">
        <v>120000</v>
      </c>
      <c r="G10" s="20">
        <v>480000</v>
      </c>
      <c r="H10" s="5">
        <v>41</v>
      </c>
      <c r="I10" s="4"/>
      <c r="J10" s="4">
        <v>45203</v>
      </c>
      <c r="K10" s="5">
        <v>23</v>
      </c>
      <c r="L10" s="5" t="s">
        <v>49</v>
      </c>
      <c r="M10" s="11" t="s">
        <v>50</v>
      </c>
      <c r="N10" s="20">
        <v>1</v>
      </c>
      <c r="O10" s="22">
        <v>150000</v>
      </c>
      <c r="P10" s="6">
        <v>150000</v>
      </c>
      <c r="Q10" s="50" t="s">
        <v>11</v>
      </c>
      <c r="R10" s="12">
        <v>39</v>
      </c>
    </row>
    <row r="11" spans="1:20" x14ac:dyDescent="0.25">
      <c r="A11" s="4">
        <v>45111</v>
      </c>
      <c r="B11" s="5">
        <v>21</v>
      </c>
      <c r="C11" s="24" t="s">
        <v>44</v>
      </c>
      <c r="D11" s="24" t="s">
        <v>45</v>
      </c>
      <c r="E11" s="10">
        <v>6</v>
      </c>
      <c r="F11" s="6">
        <v>120000</v>
      </c>
      <c r="G11" s="20">
        <v>720000</v>
      </c>
      <c r="H11" s="5">
        <v>42</v>
      </c>
      <c r="I11" s="4"/>
    </row>
    <row r="12" spans="1:20" x14ac:dyDescent="0.25">
      <c r="A12" s="4">
        <v>45111</v>
      </c>
      <c r="B12" s="5">
        <v>31</v>
      </c>
      <c r="C12" s="24" t="s">
        <v>52</v>
      </c>
      <c r="D12" s="24" t="s">
        <v>53</v>
      </c>
      <c r="E12" s="10">
        <v>7</v>
      </c>
      <c r="F12" s="6">
        <v>100000</v>
      </c>
      <c r="G12" s="20">
        <v>700000</v>
      </c>
      <c r="I12" s="4"/>
    </row>
    <row r="13" spans="1:20" x14ac:dyDescent="0.25">
      <c r="A13" s="4">
        <v>45111</v>
      </c>
      <c r="B13" s="5">
        <v>32</v>
      </c>
      <c r="C13" s="24" t="s">
        <v>55</v>
      </c>
      <c r="D13" s="24" t="s">
        <v>56</v>
      </c>
      <c r="E13" s="10">
        <v>10</v>
      </c>
      <c r="F13" s="6">
        <v>130000</v>
      </c>
      <c r="G13" s="20">
        <v>1300000</v>
      </c>
      <c r="I13" s="4"/>
    </row>
    <row r="14" spans="1:20" x14ac:dyDescent="0.25">
      <c r="A14" s="4">
        <v>45111</v>
      </c>
      <c r="B14" s="5">
        <v>33</v>
      </c>
      <c r="C14" s="24" t="s">
        <v>58</v>
      </c>
      <c r="D14" s="24" t="s">
        <v>59</v>
      </c>
      <c r="E14" s="10">
        <v>8</v>
      </c>
      <c r="F14" s="6">
        <v>70000</v>
      </c>
      <c r="G14" s="20">
        <v>560000</v>
      </c>
      <c r="I14" s="4"/>
    </row>
    <row r="15" spans="1:20" x14ac:dyDescent="0.25">
      <c r="A15" s="4">
        <v>45111</v>
      </c>
      <c r="B15" s="5">
        <v>41</v>
      </c>
      <c r="C15" s="24" t="s">
        <v>61</v>
      </c>
      <c r="D15" s="24" t="s">
        <v>62</v>
      </c>
      <c r="E15" s="10">
        <v>20</v>
      </c>
      <c r="F15" s="6">
        <v>10000</v>
      </c>
      <c r="G15" s="20">
        <v>200000</v>
      </c>
      <c r="I15" s="4"/>
    </row>
    <row r="16" spans="1:20" x14ac:dyDescent="0.25">
      <c r="A16" s="4">
        <v>45111</v>
      </c>
      <c r="B16" s="5">
        <v>42</v>
      </c>
      <c r="C16" s="24" t="s">
        <v>64</v>
      </c>
      <c r="D16" s="24" t="s">
        <v>65</v>
      </c>
      <c r="E16" s="10">
        <v>25</v>
      </c>
      <c r="F16" s="6">
        <v>8000</v>
      </c>
      <c r="G16" s="20">
        <v>200000</v>
      </c>
      <c r="I16" s="4"/>
      <c r="K16" s="28"/>
    </row>
    <row r="17" spans="1:9" x14ac:dyDescent="0.25">
      <c r="A17" s="4">
        <v>45111</v>
      </c>
      <c r="B17" s="5">
        <v>43</v>
      </c>
      <c r="C17" s="24" t="s">
        <v>67</v>
      </c>
      <c r="D17" s="24" t="s">
        <v>68</v>
      </c>
      <c r="E17" s="10">
        <v>20</v>
      </c>
      <c r="F17" s="6">
        <v>7000</v>
      </c>
      <c r="G17" s="20">
        <v>140000</v>
      </c>
      <c r="I17" s="4"/>
    </row>
    <row r="18" spans="1:9" x14ac:dyDescent="0.25">
      <c r="A18" s="4">
        <v>45111</v>
      </c>
      <c r="B18" s="5">
        <v>41</v>
      </c>
      <c r="C18" s="24" t="s">
        <v>61</v>
      </c>
      <c r="D18" s="24" t="s">
        <v>62</v>
      </c>
      <c r="E18" s="10">
        <v>5</v>
      </c>
      <c r="F18" s="6">
        <v>10000</v>
      </c>
      <c r="G18" s="20">
        <v>50000</v>
      </c>
      <c r="I18" s="4"/>
    </row>
    <row r="19" spans="1:9" x14ac:dyDescent="0.25">
      <c r="A19" s="4">
        <v>45111</v>
      </c>
      <c r="B19" s="5">
        <v>43</v>
      </c>
      <c r="C19" s="24" t="s">
        <v>67</v>
      </c>
      <c r="D19" s="24" t="s">
        <v>68</v>
      </c>
      <c r="E19" s="10">
        <v>4</v>
      </c>
      <c r="F19" s="6">
        <v>7000</v>
      </c>
      <c r="G19" s="20">
        <v>28000</v>
      </c>
      <c r="I19" s="4"/>
    </row>
    <row r="20" spans="1:9" x14ac:dyDescent="0.25">
      <c r="A20" s="4">
        <v>45111</v>
      </c>
      <c r="B20" s="5">
        <v>22</v>
      </c>
      <c r="C20" s="24" t="s">
        <v>47</v>
      </c>
      <c r="D20" s="24" t="s">
        <v>40</v>
      </c>
      <c r="E20" s="10">
        <v>6</v>
      </c>
      <c r="F20" s="6">
        <v>170000</v>
      </c>
      <c r="G20" s="20">
        <v>1020000</v>
      </c>
      <c r="H20" s="5">
        <v>40</v>
      </c>
      <c r="I20" s="4"/>
    </row>
    <row r="21" spans="1:9" x14ac:dyDescent="0.25">
      <c r="A21" s="4">
        <v>45111</v>
      </c>
      <c r="B21" s="5">
        <v>23</v>
      </c>
      <c r="C21" s="24" t="s">
        <v>49</v>
      </c>
      <c r="D21" s="24" t="s">
        <v>50</v>
      </c>
      <c r="E21" s="10">
        <v>5</v>
      </c>
      <c r="F21" s="6">
        <v>150000</v>
      </c>
      <c r="G21" s="20">
        <v>750000</v>
      </c>
      <c r="H21" s="5">
        <v>40</v>
      </c>
      <c r="I21" s="4"/>
    </row>
    <row r="22" spans="1:9" x14ac:dyDescent="0.25">
      <c r="A22" s="4">
        <v>45111</v>
      </c>
      <c r="B22" s="5">
        <v>22</v>
      </c>
      <c r="C22" s="24" t="s">
        <v>47</v>
      </c>
      <c r="D22" s="24" t="s">
        <v>40</v>
      </c>
      <c r="E22" s="10">
        <v>5</v>
      </c>
      <c r="F22" s="6">
        <v>170000</v>
      </c>
      <c r="G22" s="20">
        <v>850000</v>
      </c>
      <c r="H22" s="5">
        <v>41</v>
      </c>
      <c r="I22" s="4"/>
    </row>
    <row r="23" spans="1:9" x14ac:dyDescent="0.25">
      <c r="A23" s="4">
        <v>45111</v>
      </c>
      <c r="B23" s="5">
        <v>22</v>
      </c>
      <c r="C23" s="24" t="s">
        <v>47</v>
      </c>
      <c r="D23" s="24" t="s">
        <v>40</v>
      </c>
      <c r="E23" s="10">
        <v>5</v>
      </c>
      <c r="F23" s="6">
        <v>170000</v>
      </c>
      <c r="G23" s="20">
        <v>850000</v>
      </c>
      <c r="H23" s="5">
        <v>42</v>
      </c>
      <c r="I23" s="4"/>
    </row>
    <row r="24" spans="1:9" x14ac:dyDescent="0.25">
      <c r="A24" s="4">
        <v>45111</v>
      </c>
      <c r="B24" s="5">
        <v>23</v>
      </c>
      <c r="C24" s="24" t="s">
        <v>49</v>
      </c>
      <c r="D24" s="24" t="s">
        <v>50</v>
      </c>
      <c r="E24" s="10">
        <v>6</v>
      </c>
      <c r="F24" s="6">
        <v>150000</v>
      </c>
      <c r="G24" s="20">
        <v>900000</v>
      </c>
      <c r="H24" s="5">
        <v>41</v>
      </c>
      <c r="I24" s="4"/>
    </row>
    <row r="25" spans="1:9" x14ac:dyDescent="0.25">
      <c r="A25" s="4">
        <v>45111</v>
      </c>
      <c r="B25" s="5">
        <v>23</v>
      </c>
      <c r="C25" s="24" t="s">
        <v>49</v>
      </c>
      <c r="D25" s="24" t="s">
        <v>50</v>
      </c>
      <c r="E25" s="10">
        <v>7</v>
      </c>
      <c r="F25" s="6">
        <v>150000</v>
      </c>
      <c r="G25" s="20">
        <v>1050000</v>
      </c>
      <c r="H25" s="5">
        <v>42</v>
      </c>
      <c r="I25" s="4"/>
    </row>
    <row r="26" spans="1:9" x14ac:dyDescent="0.25">
      <c r="A26" s="4"/>
      <c r="I26" s="4"/>
    </row>
    <row r="27" spans="1:9" x14ac:dyDescent="0.25">
      <c r="A27" s="4"/>
      <c r="I27" s="4"/>
    </row>
    <row r="28" spans="1:9" x14ac:dyDescent="0.25">
      <c r="A28" s="4"/>
    </row>
    <row r="29" spans="1:9" x14ac:dyDescent="0.25">
      <c r="A29" s="4"/>
    </row>
    <row r="30" spans="1:9" x14ac:dyDescent="0.25">
      <c r="A30" s="4"/>
    </row>
    <row r="31" spans="1:9" x14ac:dyDescent="0.25">
      <c r="A31" s="4"/>
    </row>
    <row r="32" spans="1:9" x14ac:dyDescent="0.25">
      <c r="A32" s="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4385D-1D48-4B4C-B2D5-D9C42E0F07E5}">
  <sheetPr codeName="Sheet11"/>
  <dimension ref="A1:A5"/>
  <sheetViews>
    <sheetView workbookViewId="0">
      <selection activeCell="I12" sqref="I12"/>
    </sheetView>
  </sheetViews>
  <sheetFormatPr defaultRowHeight="15" x14ac:dyDescent="0.25"/>
  <cols>
    <col min="1" max="1" width="13.7109375" customWidth="1"/>
  </cols>
  <sheetData>
    <row r="1" spans="1:1" x14ac:dyDescent="0.25">
      <c r="A1" s="17" t="s">
        <v>9</v>
      </c>
    </row>
    <row r="2" spans="1:1" x14ac:dyDescent="0.25">
      <c r="A2" s="12" t="s">
        <v>10</v>
      </c>
    </row>
    <row r="3" spans="1:1" x14ac:dyDescent="0.25">
      <c r="A3" s="12" t="s">
        <v>11</v>
      </c>
    </row>
    <row r="4" spans="1:1" x14ac:dyDescent="0.25">
      <c r="A4" s="12" t="s">
        <v>12</v>
      </c>
    </row>
    <row r="5" spans="1:1" x14ac:dyDescent="0.25">
      <c r="A5" s="12" t="s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78FBF-5D38-483E-8531-DC4499132C86}">
  <sheetPr codeName="Sheet12"/>
  <dimension ref="A1:H16"/>
  <sheetViews>
    <sheetView workbookViewId="0">
      <selection activeCell="B4" sqref="B4"/>
    </sheetView>
  </sheetViews>
  <sheetFormatPr defaultRowHeight="15" x14ac:dyDescent="0.25"/>
  <cols>
    <col min="1" max="1" width="9.140625" style="5"/>
    <col min="2" max="2" width="15.7109375" style="5" customWidth="1"/>
    <col min="3" max="3" width="23.5703125" style="19" customWidth="1"/>
    <col min="4" max="4" width="11.140625" style="12" customWidth="1"/>
    <col min="5" max="5" width="21.140625" style="12" customWidth="1"/>
    <col min="6" max="6" width="15.42578125" style="20" customWidth="1"/>
    <col min="7" max="7" width="9.140625" style="10"/>
    <col min="8" max="8" width="15.42578125" style="20" customWidth="1"/>
  </cols>
  <sheetData>
    <row r="1" spans="1:8" ht="15.75" thickTop="1" x14ac:dyDescent="0.25">
      <c r="A1" s="15" t="s">
        <v>0</v>
      </c>
      <c r="B1" s="14" t="s">
        <v>5</v>
      </c>
      <c r="C1" s="15" t="s">
        <v>1</v>
      </c>
      <c r="D1" s="15" t="s">
        <v>2</v>
      </c>
      <c r="E1" s="15" t="s">
        <v>3</v>
      </c>
      <c r="F1" s="16" t="s">
        <v>4</v>
      </c>
      <c r="G1" s="13" t="s">
        <v>16</v>
      </c>
      <c r="H1" s="16" t="s">
        <v>17</v>
      </c>
    </row>
    <row r="2" spans="1:8" x14ac:dyDescent="0.25">
      <c r="A2" s="5">
        <v>1</v>
      </c>
      <c r="B2" s="18" t="s">
        <v>60</v>
      </c>
      <c r="C2" s="47" t="s">
        <v>61</v>
      </c>
      <c r="D2" s="19" t="s">
        <v>62</v>
      </c>
      <c r="E2" s="46" t="s">
        <v>38</v>
      </c>
      <c r="F2" s="6">
        <v>10000</v>
      </c>
      <c r="G2" s="10">
        <v>23</v>
      </c>
      <c r="H2" s="20">
        <v>20000</v>
      </c>
    </row>
    <row r="3" spans="1:8" x14ac:dyDescent="0.25">
      <c r="A3" s="5">
        <v>2</v>
      </c>
      <c r="B3" s="18" t="s">
        <v>63</v>
      </c>
      <c r="C3" s="47" t="s">
        <v>64</v>
      </c>
      <c r="D3" s="19" t="s">
        <v>65</v>
      </c>
      <c r="E3" s="46" t="s">
        <v>38</v>
      </c>
      <c r="F3" s="6">
        <v>8000</v>
      </c>
      <c r="G3" s="11">
        <v>24</v>
      </c>
      <c r="H3" s="20">
        <v>15000</v>
      </c>
    </row>
    <row r="4" spans="1:8" x14ac:dyDescent="0.25">
      <c r="A4" s="5">
        <v>3</v>
      </c>
      <c r="B4" s="18" t="s">
        <v>66</v>
      </c>
      <c r="C4" s="19" t="s">
        <v>67</v>
      </c>
      <c r="D4" s="12" t="s">
        <v>68</v>
      </c>
      <c r="E4" s="12" t="s">
        <v>38</v>
      </c>
      <c r="F4" s="20">
        <v>7000</v>
      </c>
      <c r="G4" s="10">
        <v>21</v>
      </c>
      <c r="H4" s="20">
        <v>15000</v>
      </c>
    </row>
    <row r="5" spans="1:8" x14ac:dyDescent="0.25">
      <c r="B5" s="18"/>
    </row>
    <row r="12" spans="1:8" x14ac:dyDescent="0.25">
      <c r="E12" s="21"/>
      <c r="F12" s="22"/>
      <c r="H12" s="22"/>
    </row>
    <row r="13" spans="1:8" x14ac:dyDescent="0.25">
      <c r="E13" s="21"/>
      <c r="F13" s="22"/>
      <c r="H13" s="22"/>
    </row>
    <row r="14" spans="1:8" x14ac:dyDescent="0.25">
      <c r="F14" s="12"/>
      <c r="G14" s="23"/>
      <c r="H14" s="12"/>
    </row>
    <row r="15" spans="1:8" x14ac:dyDescent="0.25">
      <c r="F15" s="12"/>
      <c r="G15" s="23"/>
      <c r="H15" s="12"/>
    </row>
    <row r="16" spans="1:8" x14ac:dyDescent="0.25">
      <c r="F16" s="12"/>
      <c r="G16" s="23"/>
      <c r="H16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6BE9B-B45D-4BD1-9FB5-B672AEDF81B8}">
  <sheetPr codeName="Sheet2"/>
  <dimension ref="A1:Q13"/>
  <sheetViews>
    <sheetView topLeftCell="B1" zoomScale="115" zoomScaleNormal="115" workbookViewId="0">
      <selection activeCell="B4" sqref="B4"/>
    </sheetView>
  </sheetViews>
  <sheetFormatPr defaultRowHeight="15" x14ac:dyDescent="0.25"/>
  <cols>
    <col min="1" max="1" width="13.28515625" style="5" customWidth="1"/>
    <col min="2" max="2" width="17.7109375" style="18" customWidth="1"/>
    <col min="3" max="3" width="22.7109375" style="19" customWidth="1"/>
    <col min="4" max="4" width="12.85546875" style="19" customWidth="1"/>
    <col min="5" max="5" width="23.85546875" style="12" bestFit="1" customWidth="1"/>
    <col min="6" max="6" width="16.140625" style="39" customWidth="1"/>
    <col min="7" max="7" width="10.140625" style="10" customWidth="1"/>
    <col min="8" max="8" width="15.42578125" style="20" customWidth="1"/>
    <col min="9" max="16" width="9.140625" style="1"/>
    <col min="17" max="17" width="48.5703125" customWidth="1"/>
  </cols>
  <sheetData>
    <row r="1" spans="1:17" ht="15.75" thickTop="1" x14ac:dyDescent="0.25">
      <c r="A1" s="15" t="s">
        <v>0</v>
      </c>
      <c r="B1" s="14" t="s">
        <v>5</v>
      </c>
      <c r="C1" s="15" t="s">
        <v>1</v>
      </c>
      <c r="D1" s="15" t="s">
        <v>2</v>
      </c>
      <c r="E1" s="15" t="s">
        <v>3</v>
      </c>
      <c r="F1" s="16" t="s">
        <v>4</v>
      </c>
      <c r="G1" s="13" t="s">
        <v>16</v>
      </c>
      <c r="H1" s="16" t="s">
        <v>17</v>
      </c>
      <c r="P1"/>
    </row>
    <row r="2" spans="1:17" x14ac:dyDescent="0.25">
      <c r="A2" s="5">
        <v>1</v>
      </c>
      <c r="B2" s="18" t="s">
        <v>35</v>
      </c>
      <c r="C2" s="47" t="s">
        <v>36</v>
      </c>
      <c r="D2" s="19" t="s">
        <v>37</v>
      </c>
      <c r="E2" s="46" t="s">
        <v>38</v>
      </c>
      <c r="F2" s="6">
        <v>100000</v>
      </c>
      <c r="G2" s="10">
        <v>10</v>
      </c>
      <c r="H2" s="20">
        <v>200000</v>
      </c>
      <c r="J2" s="5"/>
      <c r="K2" s="18"/>
      <c r="L2" s="19"/>
      <c r="M2" s="19"/>
      <c r="N2" s="12"/>
      <c r="O2" s="39"/>
      <c r="P2" s="10"/>
      <c r="Q2" s="20"/>
    </row>
    <row r="3" spans="1:17" x14ac:dyDescent="0.25">
      <c r="A3" s="5">
        <v>2</v>
      </c>
      <c r="B3" s="18" t="s">
        <v>34</v>
      </c>
      <c r="C3" s="47" t="s">
        <v>39</v>
      </c>
      <c r="D3" s="19" t="s">
        <v>40</v>
      </c>
      <c r="E3" s="46" t="s">
        <v>38</v>
      </c>
      <c r="F3" s="6">
        <v>70000</v>
      </c>
      <c r="G3" s="11">
        <v>8</v>
      </c>
      <c r="H3" s="20">
        <v>100000</v>
      </c>
      <c r="J3" s="5"/>
      <c r="K3" s="18"/>
      <c r="L3" s="19"/>
      <c r="M3" s="19"/>
      <c r="N3" s="12"/>
      <c r="O3" s="39"/>
      <c r="P3" s="11"/>
      <c r="Q3" s="20"/>
    </row>
    <row r="4" spans="1:17" x14ac:dyDescent="0.25">
      <c r="A4" s="5">
        <v>3</v>
      </c>
      <c r="B4" s="18" t="s">
        <v>41</v>
      </c>
      <c r="C4" s="19" t="s">
        <v>42</v>
      </c>
      <c r="D4" s="19" t="s">
        <v>37</v>
      </c>
      <c r="E4" s="12" t="s">
        <v>38</v>
      </c>
      <c r="F4" s="39">
        <v>100000</v>
      </c>
      <c r="G4" s="10">
        <v>7</v>
      </c>
      <c r="H4" s="20">
        <v>200000</v>
      </c>
      <c r="P4"/>
    </row>
    <row r="5" spans="1:17" x14ac:dyDescent="0.25">
      <c r="I5"/>
      <c r="J5"/>
      <c r="K5"/>
      <c r="L5"/>
      <c r="M5"/>
      <c r="N5"/>
      <c r="O5"/>
      <c r="P5"/>
    </row>
    <row r="13" spans="1:17" x14ac:dyDescent="0.25">
      <c r="B13" s="4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578C5-1322-4856-951D-D682BE4A3DA4}">
  <sheetPr codeName="Sheet9"/>
  <dimension ref="A5:C10"/>
  <sheetViews>
    <sheetView workbookViewId="0">
      <selection activeCell="I25" sqref="I25"/>
    </sheetView>
  </sheetViews>
  <sheetFormatPr defaultRowHeight="15" x14ac:dyDescent="0.25"/>
  <cols>
    <col min="1" max="1" width="5.7109375" style="1" customWidth="1"/>
    <col min="2" max="2" width="12.5703125" style="2" customWidth="1"/>
    <col min="3" max="3" width="11" style="2" customWidth="1"/>
  </cols>
  <sheetData>
    <row r="5" spans="1:3" x14ac:dyDescent="0.25">
      <c r="A5" s="8" t="s">
        <v>0</v>
      </c>
      <c r="B5" s="8" t="s">
        <v>7</v>
      </c>
      <c r="C5" s="8" t="s">
        <v>6</v>
      </c>
    </row>
    <row r="6" spans="1:3" x14ac:dyDescent="0.25">
      <c r="A6" s="5">
        <f>ROW()-ROW($A$5)</f>
        <v>1</v>
      </c>
      <c r="B6" s="19" t="s">
        <v>8</v>
      </c>
      <c r="C6" s="19">
        <v>1221216</v>
      </c>
    </row>
    <row r="7" spans="1:3" x14ac:dyDescent="0.25">
      <c r="A7" s="5">
        <f>ROW()-ROW($A$5)</f>
        <v>2</v>
      </c>
      <c r="B7" s="19" t="s">
        <v>13</v>
      </c>
      <c r="C7" s="19">
        <v>212121</v>
      </c>
    </row>
    <row r="8" spans="1:3" x14ac:dyDescent="0.25">
      <c r="A8" s="5">
        <f>ROW()-ROW($A$5)</f>
        <v>3</v>
      </c>
      <c r="B8" s="19" t="s">
        <v>15</v>
      </c>
      <c r="C8" s="19">
        <v>121212</v>
      </c>
    </row>
    <row r="9" spans="1:3" x14ac:dyDescent="0.25">
      <c r="A9" s="5">
        <f>ROW()-ROW($A$5)</f>
        <v>4</v>
      </c>
      <c r="B9" s="19" t="s">
        <v>23</v>
      </c>
      <c r="C9" s="19">
        <v>21</v>
      </c>
    </row>
    <row r="10" spans="1:3" x14ac:dyDescent="0.25">
      <c r="A10" s="1">
        <f>ROW()-ROW($A$5)</f>
        <v>5</v>
      </c>
      <c r="B10" s="2" t="s">
        <v>29</v>
      </c>
      <c r="C10" s="2">
        <v>22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FB84A-2B66-49D2-8531-F3D159F9814F}">
  <sheetPr codeName="Sheet3"/>
  <dimension ref="A1:P11"/>
  <sheetViews>
    <sheetView workbookViewId="0">
      <selection activeCell="B4" sqref="B4"/>
    </sheetView>
  </sheetViews>
  <sheetFormatPr defaultRowHeight="15" x14ac:dyDescent="0.25"/>
  <cols>
    <col min="1" max="1" width="4.7109375" style="5" customWidth="1"/>
    <col min="2" max="2" width="17.7109375" style="18" customWidth="1"/>
    <col min="3" max="3" width="24.140625" style="19" customWidth="1"/>
    <col min="4" max="4" width="12.85546875" style="19" customWidth="1"/>
    <col min="5" max="5" width="23.85546875" style="12" bestFit="1" customWidth="1"/>
    <col min="6" max="6" width="16.5703125" style="6" customWidth="1"/>
    <col min="7" max="7" width="9.140625" style="10" customWidth="1"/>
    <col min="8" max="11" width="9.140625" style="5"/>
    <col min="12" max="12" width="15.42578125" style="36" customWidth="1"/>
    <col min="13" max="13" width="9.140625" style="5"/>
    <col min="14" max="14" width="15.42578125" style="20" customWidth="1"/>
    <col min="15" max="16" width="9.140625" style="1"/>
    <col min="17" max="17" width="48.5703125" customWidth="1"/>
  </cols>
  <sheetData>
    <row r="1" spans="1:16" ht="15.75" thickTop="1" x14ac:dyDescent="0.25">
      <c r="A1" s="15" t="s">
        <v>0</v>
      </c>
      <c r="B1" s="14" t="s">
        <v>5</v>
      </c>
      <c r="C1" s="15" t="s">
        <v>1</v>
      </c>
      <c r="D1" s="15" t="s">
        <v>2</v>
      </c>
      <c r="E1" s="15" t="s">
        <v>3</v>
      </c>
      <c r="F1" s="16" t="s">
        <v>4</v>
      </c>
      <c r="G1" s="13" t="s">
        <v>16</v>
      </c>
      <c r="H1" s="8">
        <v>39</v>
      </c>
      <c r="I1" s="8">
        <v>40</v>
      </c>
      <c r="J1" s="8">
        <v>41</v>
      </c>
      <c r="K1" s="8">
        <v>42</v>
      </c>
      <c r="L1" s="37" t="s">
        <v>17</v>
      </c>
      <c r="N1" s="43"/>
      <c r="O1"/>
      <c r="P1"/>
    </row>
    <row r="2" spans="1:16" x14ac:dyDescent="0.25">
      <c r="A2" s="5">
        <v>1</v>
      </c>
      <c r="B2" s="18" t="s">
        <v>43</v>
      </c>
      <c r="C2" s="47" t="s">
        <v>44</v>
      </c>
      <c r="D2" s="19" t="s">
        <v>45</v>
      </c>
      <c r="E2" s="46" t="s">
        <v>38</v>
      </c>
      <c r="F2" s="6">
        <v>120000</v>
      </c>
      <c r="G2" s="10">
        <v>20</v>
      </c>
      <c r="H2" s="5">
        <v>5</v>
      </c>
      <c r="I2" s="5">
        <v>5</v>
      </c>
      <c r="J2" s="5">
        <v>4</v>
      </c>
      <c r="K2" s="5">
        <v>6</v>
      </c>
      <c r="L2" s="36">
        <v>210000</v>
      </c>
      <c r="O2"/>
      <c r="P2"/>
    </row>
    <row r="3" spans="1:16" x14ac:dyDescent="0.25">
      <c r="A3" s="5">
        <v>2</v>
      </c>
      <c r="B3" s="18" t="s">
        <v>46</v>
      </c>
      <c r="C3" s="47" t="s">
        <v>47</v>
      </c>
      <c r="D3" s="19" t="s">
        <v>40</v>
      </c>
      <c r="E3" s="46" t="s">
        <v>38</v>
      </c>
      <c r="F3" s="6">
        <v>170000</v>
      </c>
      <c r="G3" s="10">
        <v>23</v>
      </c>
      <c r="H3" s="5">
        <v>7</v>
      </c>
      <c r="I3" s="5">
        <v>6</v>
      </c>
      <c r="J3" s="5">
        <v>5</v>
      </c>
      <c r="K3" s="5">
        <v>5</v>
      </c>
      <c r="L3" s="36">
        <v>220000</v>
      </c>
      <c r="O3"/>
      <c r="P3"/>
    </row>
    <row r="4" spans="1:16" x14ac:dyDescent="0.25">
      <c r="A4" s="5">
        <v>3</v>
      </c>
      <c r="B4" s="18" t="s">
        <v>48</v>
      </c>
      <c r="C4" s="24" t="s">
        <v>49</v>
      </c>
      <c r="D4" s="24" t="s">
        <v>50</v>
      </c>
      <c r="E4" s="48" t="s">
        <v>57</v>
      </c>
      <c r="F4" s="6">
        <v>150000</v>
      </c>
      <c r="G4" s="10">
        <v>25</v>
      </c>
      <c r="H4" s="5">
        <v>8</v>
      </c>
      <c r="I4" s="5">
        <v>5</v>
      </c>
      <c r="J4" s="5">
        <v>5</v>
      </c>
      <c r="K4" s="5">
        <v>7</v>
      </c>
      <c r="L4" s="36">
        <v>300000</v>
      </c>
      <c r="O4"/>
      <c r="P4"/>
    </row>
    <row r="5" spans="1:16" x14ac:dyDescent="0.25">
      <c r="O5"/>
      <c r="P5"/>
    </row>
    <row r="6" spans="1:16" x14ac:dyDescent="0.25">
      <c r="B6" s="5"/>
      <c r="I6" s="40"/>
      <c r="L6" s="41"/>
      <c r="N6" s="22"/>
      <c r="O6"/>
      <c r="P6"/>
    </row>
    <row r="7" spans="1:16" x14ac:dyDescent="0.25">
      <c r="B7" s="5"/>
      <c r="L7" s="41"/>
      <c r="N7" s="22"/>
      <c r="O7"/>
      <c r="P7"/>
    </row>
    <row r="8" spans="1:16" x14ac:dyDescent="0.25">
      <c r="B8" s="5"/>
      <c r="N8" s="12"/>
      <c r="O8"/>
      <c r="P8"/>
    </row>
    <row r="9" spans="1:16" x14ac:dyDescent="0.25">
      <c r="B9" s="5"/>
      <c r="N9" s="12"/>
      <c r="O9"/>
      <c r="P9"/>
    </row>
    <row r="10" spans="1:16" x14ac:dyDescent="0.25">
      <c r="B10" s="5"/>
      <c r="N10" s="12"/>
      <c r="O10"/>
      <c r="P10"/>
    </row>
    <row r="11" spans="1:16" x14ac:dyDescent="0.25">
      <c r="B11" s="5"/>
      <c r="O11"/>
      <c r="P1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344-C1CD-4606-993F-B3636F7AD56E}">
  <sheetPr codeName="Sheet5"/>
  <dimension ref="A1:P15"/>
  <sheetViews>
    <sheetView workbookViewId="0">
      <selection activeCell="B3" sqref="B3"/>
    </sheetView>
  </sheetViews>
  <sheetFormatPr defaultRowHeight="15" x14ac:dyDescent="0.25"/>
  <cols>
    <col min="1" max="1" width="4.7109375" style="5" customWidth="1"/>
    <col min="2" max="2" width="17.7109375" style="25" customWidth="1"/>
    <col min="3" max="3" width="24.140625" style="24" customWidth="1"/>
    <col min="4" max="4" width="12.85546875" style="5" customWidth="1"/>
    <col min="5" max="5" width="23.85546875" style="24" bestFit="1" customWidth="1"/>
    <col min="6" max="6" width="16.28515625" style="6" customWidth="1"/>
    <col min="7" max="7" width="9.140625" style="10"/>
    <col min="8" max="8" width="15.42578125" style="20" customWidth="1"/>
    <col min="9" max="12" width="9.140625" style="1"/>
    <col min="13" max="13" width="30.7109375" style="1" customWidth="1"/>
    <col min="14" max="16" width="9.140625" style="1"/>
    <col min="17" max="17" width="48.5703125" customWidth="1"/>
  </cols>
  <sheetData>
    <row r="1" spans="1:16" ht="15.75" thickTop="1" x14ac:dyDescent="0.25">
      <c r="A1" s="15" t="s">
        <v>0</v>
      </c>
      <c r="B1" s="26" t="s">
        <v>5</v>
      </c>
      <c r="C1" s="15" t="s">
        <v>1</v>
      </c>
      <c r="D1" s="15" t="s">
        <v>2</v>
      </c>
      <c r="E1" s="15" t="s">
        <v>3</v>
      </c>
      <c r="F1" s="16" t="s">
        <v>4</v>
      </c>
      <c r="G1" s="13" t="s">
        <v>16</v>
      </c>
      <c r="H1" s="16" t="s">
        <v>17</v>
      </c>
      <c r="I1"/>
      <c r="J1"/>
      <c r="K1"/>
      <c r="L1"/>
      <c r="M1"/>
      <c r="N1"/>
      <c r="O1"/>
      <c r="P1"/>
    </row>
    <row r="2" spans="1:16" x14ac:dyDescent="0.25">
      <c r="A2" s="5">
        <v>1</v>
      </c>
      <c r="B2" s="18" t="s">
        <v>51</v>
      </c>
      <c r="C2" s="47" t="s">
        <v>52</v>
      </c>
      <c r="D2" s="19" t="s">
        <v>53</v>
      </c>
      <c r="E2" s="46" t="s">
        <v>38</v>
      </c>
      <c r="F2" s="6">
        <v>100000</v>
      </c>
      <c r="G2" s="10">
        <v>7</v>
      </c>
      <c r="H2" s="20">
        <v>200000</v>
      </c>
      <c r="I2"/>
      <c r="J2"/>
      <c r="K2"/>
      <c r="L2"/>
      <c r="M2"/>
      <c r="N2"/>
      <c r="O2"/>
      <c r="P2"/>
    </row>
    <row r="3" spans="1:16" x14ac:dyDescent="0.25">
      <c r="A3" s="5">
        <v>2</v>
      </c>
      <c r="B3" s="18" t="s">
        <v>54</v>
      </c>
      <c r="C3" s="47" t="s">
        <v>55</v>
      </c>
      <c r="D3" s="19" t="s">
        <v>56</v>
      </c>
      <c r="E3" s="46" t="s">
        <v>57</v>
      </c>
      <c r="F3" s="6">
        <v>130000</v>
      </c>
      <c r="G3" s="10">
        <v>7</v>
      </c>
      <c r="H3" s="20">
        <v>230000</v>
      </c>
      <c r="I3"/>
      <c r="J3"/>
      <c r="K3"/>
      <c r="L3"/>
      <c r="M3"/>
      <c r="N3"/>
      <c r="O3"/>
      <c r="P3"/>
    </row>
    <row r="4" spans="1:16" x14ac:dyDescent="0.25">
      <c r="A4" s="5">
        <v>3</v>
      </c>
      <c r="B4" s="25">
        <v>33</v>
      </c>
      <c r="C4" s="38" t="s">
        <v>58</v>
      </c>
      <c r="D4" s="5" t="s">
        <v>59</v>
      </c>
      <c r="E4" s="24" t="s">
        <v>38</v>
      </c>
      <c r="F4" s="6">
        <v>70000</v>
      </c>
      <c r="G4" s="10">
        <v>5</v>
      </c>
      <c r="H4" s="20">
        <v>100000</v>
      </c>
      <c r="N4"/>
      <c r="O4"/>
      <c r="P4"/>
    </row>
    <row r="5" spans="1:16" x14ac:dyDescent="0.25">
      <c r="N5"/>
      <c r="O5"/>
      <c r="P5"/>
    </row>
    <row r="6" spans="1:16" x14ac:dyDescent="0.25">
      <c r="N6"/>
      <c r="O6"/>
      <c r="P6"/>
    </row>
    <row r="7" spans="1:16" x14ac:dyDescent="0.25">
      <c r="A7" s="12"/>
      <c r="I7"/>
      <c r="J7"/>
      <c r="K7"/>
      <c r="L7"/>
      <c r="M7"/>
      <c r="N7"/>
      <c r="O7"/>
      <c r="P7"/>
    </row>
    <row r="8" spans="1:16" x14ac:dyDescent="0.25">
      <c r="A8" s="12"/>
      <c r="I8"/>
      <c r="J8"/>
      <c r="K8"/>
      <c r="L8"/>
      <c r="M8"/>
      <c r="N8"/>
      <c r="O8"/>
      <c r="P8"/>
    </row>
    <row r="9" spans="1:16" x14ac:dyDescent="0.25">
      <c r="A9" s="12"/>
      <c r="I9"/>
      <c r="J9"/>
      <c r="K9"/>
      <c r="L9"/>
      <c r="M9"/>
      <c r="N9"/>
      <c r="O9"/>
      <c r="P9"/>
    </row>
    <row r="10" spans="1:16" x14ac:dyDescent="0.25">
      <c r="A10" s="12"/>
      <c r="H10" s="22"/>
      <c r="I10"/>
      <c r="J10"/>
      <c r="K10"/>
      <c r="L10"/>
      <c r="M10"/>
      <c r="N10"/>
      <c r="O10"/>
      <c r="P10"/>
    </row>
    <row r="11" spans="1:16" x14ac:dyDescent="0.25">
      <c r="A11" s="12"/>
      <c r="H11" s="22"/>
      <c r="I11"/>
      <c r="J11"/>
      <c r="K11"/>
      <c r="L11"/>
      <c r="M11"/>
      <c r="N11"/>
      <c r="O11"/>
      <c r="P11"/>
    </row>
    <row r="12" spans="1:16" x14ac:dyDescent="0.25">
      <c r="A12" s="12"/>
      <c r="H12" s="12"/>
      <c r="I12"/>
      <c r="J12"/>
      <c r="K12"/>
      <c r="L12"/>
      <c r="M12"/>
      <c r="N12"/>
      <c r="O12"/>
      <c r="P12"/>
    </row>
    <row r="13" spans="1:16" x14ac:dyDescent="0.25">
      <c r="A13" s="12"/>
      <c r="H13" s="12"/>
      <c r="I13"/>
      <c r="J13"/>
      <c r="K13"/>
      <c r="L13"/>
      <c r="M13"/>
      <c r="N13"/>
      <c r="O13"/>
      <c r="P13"/>
    </row>
    <row r="14" spans="1:16" x14ac:dyDescent="0.25">
      <c r="A14" s="12"/>
      <c r="H14" s="12"/>
      <c r="I14"/>
      <c r="J14"/>
      <c r="K14"/>
      <c r="L14"/>
      <c r="M14"/>
      <c r="N14"/>
      <c r="O14"/>
      <c r="P14"/>
    </row>
    <row r="15" spans="1:16" x14ac:dyDescent="0.25">
      <c r="I15"/>
      <c r="J15"/>
      <c r="K15"/>
      <c r="L15"/>
      <c r="M15"/>
      <c r="N15"/>
      <c r="O15"/>
      <c r="P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EEA84-7069-4494-A7A6-0BA5C9EE7761}">
  <sheetPr codeName="Sheet16"/>
  <dimension ref="A1:A5"/>
  <sheetViews>
    <sheetView workbookViewId="0">
      <selection activeCell="L15" sqref="L15"/>
    </sheetView>
  </sheetViews>
  <sheetFormatPr defaultRowHeight="15" x14ac:dyDescent="0.25"/>
  <cols>
    <col min="1" max="1" width="9.140625" style="1"/>
  </cols>
  <sheetData>
    <row r="1" spans="1:1" x14ac:dyDescent="0.25">
      <c r="A1" s="8" t="s">
        <v>24</v>
      </c>
    </row>
    <row r="2" spans="1:1" x14ac:dyDescent="0.25">
      <c r="A2" s="3">
        <v>39</v>
      </c>
    </row>
    <row r="3" spans="1:1" x14ac:dyDescent="0.25">
      <c r="A3" s="3">
        <v>40</v>
      </c>
    </row>
    <row r="4" spans="1:1" x14ac:dyDescent="0.25">
      <c r="A4" s="3">
        <v>41</v>
      </c>
    </row>
    <row r="5" spans="1:1" x14ac:dyDescent="0.25">
      <c r="A5" s="3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Struk</vt:lpstr>
      <vt:lpstr>Keranjang</vt:lpstr>
      <vt:lpstr>Rekap</vt:lpstr>
      <vt:lpstr>Kategori</vt:lpstr>
      <vt:lpstr>Kaus kaki</vt:lpstr>
      <vt:lpstr>Bola</vt:lpstr>
      <vt:lpstr>User</vt:lpstr>
      <vt:lpstr>Sepatu</vt:lpstr>
      <vt:lpstr>Jersey</vt:lpstr>
      <vt:lpstr>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Hail the King</dc:creator>
  <cp:lastModifiedBy>Hail the King</cp:lastModifiedBy>
  <cp:lastPrinted>2023-04-10T03:45:49Z</cp:lastPrinted>
  <dcterms:created xsi:type="dcterms:W3CDTF">2023-03-19T13:11:44Z</dcterms:created>
  <dcterms:modified xsi:type="dcterms:W3CDTF">2023-04-10T06:09:38Z</dcterms:modified>
</cp:coreProperties>
</file>